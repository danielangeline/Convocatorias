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;(#,##0.00);-"/>
    <numFmt numFmtId="165" formatCode="0.0%"/>
    <numFmt numFmtId="166" formatCode="#,##0;(#,##0);-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</font>
    <font>
      <name val="Arial"/>
      <b val="1"/>
      <sz val="12"/>
    </font>
    <font>
      <name val="Arial"/>
      <b val="1"/>
      <color rgb="00FFFFFF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2" fillId="0" borderId="1" pivotButton="0" quotePrefix="0" xfId="0"/>
    <xf numFmtId="164" fontId="5" fillId="0" borderId="1" pivotButton="0" quotePrefix="0" xfId="0"/>
    <xf numFmtId="0" fontId="5" fillId="3" borderId="1" pivotButton="0" quotePrefix="0" xfId="0"/>
    <xf numFmtId="164" fontId="5" fillId="3" borderId="1" pivotButton="0" quotePrefix="0" xfId="0"/>
    <xf numFmtId="165" fontId="2" fillId="0" borderId="0" pivotButton="0" quotePrefix="0" xfId="0"/>
    <xf numFmtId="166" fontId="2" fillId="0" borderId="1" pivotButton="0" quotePrefix="0" xfId="0"/>
    <xf numFmtId="166" fontId="5" fillId="0" borderId="1" pivotButton="0" quotePrefix="0" xfId="0"/>
    <xf numFmtId="166" fontId="5" fillId="3" borderId="1" pivotButton="0" quotePrefix="0" xfId="0"/>
    <xf numFmtId="3" fontId="2" fillId="0" borderId="1" pivotButton="0" quotePrefix="0" xfId="0"/>
    <xf numFmtId="3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Matriz de estimación de costos por fase del ciclo de vida</t>
        </is>
      </c>
    </row>
    <row r="2">
      <c r="A2" s="2" t="inlineStr">
        <is>
          <t>Convocatorias APP · 60.000 COP/h · 3,5 h por sesión · 46 sesiones + 16 h de planificación</t>
        </is>
      </c>
    </row>
    <row r="4">
      <c r="A4" s="3" t="inlineStr">
        <is>
          <t>Horas por rol y fase</t>
        </is>
      </c>
    </row>
    <row r="5" ht="32" customHeight="1">
      <c r="A5" s="4" t="inlineStr">
        <is>
          <t>Rol</t>
        </is>
      </c>
      <c r="B5" s="4" t="inlineStr">
        <is>
          <t>1. Análisis</t>
        </is>
      </c>
      <c r="C5" s="4" t="inlineStr">
        <is>
          <t>2. Diseño</t>
        </is>
      </c>
      <c r="D5" s="4" t="inlineStr">
        <is>
          <t>3. Desarrollo</t>
        </is>
      </c>
      <c r="E5" s="4" t="inlineStr">
        <is>
          <t>4. Pruebas</t>
        </is>
      </c>
      <c r="F5" s="4" t="inlineStr">
        <is>
          <t>5. Despliegue</t>
        </is>
      </c>
      <c r="G5" s="4" t="inlineStr">
        <is>
          <t>6. Mantenimiento</t>
        </is>
      </c>
      <c r="H5" s="4" t="inlineStr">
        <is>
          <t>Total</t>
        </is>
      </c>
    </row>
    <row r="6">
      <c r="A6" s="5" t="inlineStr">
        <is>
          <t>Product Owner / Analista</t>
        </is>
      </c>
      <c r="B6" s="6" t="n">
        <v>12.25</v>
      </c>
      <c r="C6" s="6" t="n">
        <v>0</v>
      </c>
      <c r="D6" s="6" t="n">
        <v>0</v>
      </c>
      <c r="E6" s="6" t="n">
        <v>1.75</v>
      </c>
      <c r="F6" s="6" t="n">
        <v>0</v>
      </c>
      <c r="G6" s="6" t="n">
        <v>0</v>
      </c>
      <c r="H6" s="7">
        <f>SUM(B6:G6)</f>
        <v/>
      </c>
    </row>
    <row r="7">
      <c r="A7" s="5" t="inlineStr">
        <is>
          <t>Arquitecto de software</t>
        </is>
      </c>
      <c r="B7" s="6" t="n">
        <v>0</v>
      </c>
      <c r="C7" s="6" t="n">
        <v>3.5</v>
      </c>
      <c r="D7" s="6" t="n">
        <v>0</v>
      </c>
      <c r="E7" s="6" t="n">
        <v>0</v>
      </c>
      <c r="F7" s="6" t="n">
        <v>0</v>
      </c>
      <c r="G7" s="6" t="n">
        <v>0</v>
      </c>
      <c r="H7" s="7">
        <f>SUM(B7:G7)</f>
        <v/>
      </c>
    </row>
    <row r="8">
      <c r="A8" s="5" t="inlineStr">
        <is>
          <t>Desarrollador Full-stack</t>
        </is>
      </c>
      <c r="B8" s="6" t="n">
        <v>0</v>
      </c>
      <c r="C8" s="6" t="n">
        <v>0</v>
      </c>
      <c r="D8" s="6" t="n">
        <v>101.5</v>
      </c>
      <c r="E8" s="6" t="n">
        <v>0</v>
      </c>
      <c r="F8" s="6" t="n">
        <v>0</v>
      </c>
      <c r="G8" s="6" t="n">
        <v>0</v>
      </c>
      <c r="H8" s="7">
        <f>SUM(B8:G8)</f>
        <v/>
      </c>
    </row>
    <row r="9">
      <c r="A9" s="5" t="inlineStr">
        <is>
          <t>Diseñador UX/UI</t>
        </is>
      </c>
      <c r="B9" s="6" t="n">
        <v>0</v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7">
        <f>SUM(B9:G9)</f>
        <v/>
      </c>
    </row>
    <row r="10">
      <c r="A10" s="5" t="inlineStr">
        <is>
          <t>QA / Tester</t>
        </is>
      </c>
      <c r="B10" s="6" t="n">
        <v>0</v>
      </c>
      <c r="C10" s="6" t="n">
        <v>0</v>
      </c>
      <c r="D10" s="6" t="n">
        <v>0</v>
      </c>
      <c r="E10" s="6" t="n">
        <v>26.25</v>
      </c>
      <c r="F10" s="6" t="n">
        <v>0</v>
      </c>
      <c r="G10" s="6" t="n">
        <v>0</v>
      </c>
      <c r="H10" s="7">
        <f>SUM(B10:G10)</f>
        <v/>
      </c>
    </row>
    <row r="11">
      <c r="A11" s="5" t="inlineStr">
        <is>
          <t>DevOps / Seguridad</t>
        </is>
      </c>
      <c r="B11" s="6" t="n">
        <v>0</v>
      </c>
      <c r="C11" s="6" t="n">
        <v>0</v>
      </c>
      <c r="D11" s="6" t="n">
        <v>1.75</v>
      </c>
      <c r="E11" s="6" t="n">
        <v>0</v>
      </c>
      <c r="F11" s="6" t="n">
        <v>7</v>
      </c>
      <c r="G11" s="6" t="n">
        <v>0</v>
      </c>
      <c r="H11" s="7">
        <f>SUM(B11:G11)</f>
        <v/>
      </c>
    </row>
    <row r="12">
      <c r="A12" s="5" t="inlineStr">
        <is>
          <t>Project Manager / Scrum</t>
        </is>
      </c>
      <c r="B12" s="6" t="n">
        <v>16</v>
      </c>
      <c r="C12" s="6" t="n">
        <v>0</v>
      </c>
      <c r="D12" s="6" t="n">
        <v>7</v>
      </c>
      <c r="E12" s="6" t="n">
        <v>0</v>
      </c>
      <c r="F12" s="6" t="n">
        <v>0</v>
      </c>
      <c r="G12" s="6" t="n">
        <v>0</v>
      </c>
      <c r="H12" s="7">
        <f>SUM(B12:G12)</f>
        <v/>
      </c>
    </row>
    <row r="13">
      <c r="A13" s="8" t="inlineStr">
        <is>
          <t>Total por fase</t>
        </is>
      </c>
      <c r="B13" s="9">
        <f>SUM(B6:B12)</f>
        <v/>
      </c>
      <c r="C13" s="9">
        <f>SUM(C6:C12)</f>
        <v/>
      </c>
      <c r="D13" s="9">
        <f>SUM(D6:D12)</f>
        <v/>
      </c>
      <c r="E13" s="9">
        <f>SUM(E6:E12)</f>
        <v/>
      </c>
      <c r="F13" s="9">
        <f>SUM(F6:F12)</f>
        <v/>
      </c>
      <c r="G13" s="9">
        <f>SUM(G6:G12)</f>
        <v/>
      </c>
      <c r="H13" s="9">
        <f>SUM(H6:H12)</f>
        <v/>
      </c>
    </row>
    <row r="14">
      <c r="A14" s="2" t="inlineStr">
        <is>
          <t>% de las horas</t>
        </is>
      </c>
      <c r="B14" s="10">
        <f>B13/$H$13</f>
        <v/>
      </c>
      <c r="C14" s="10">
        <f>C13/$H$13</f>
        <v/>
      </c>
      <c r="D14" s="10">
        <f>D13/$H$13</f>
        <v/>
      </c>
      <c r="E14" s="10">
        <f>E13/$H$13</f>
        <v/>
      </c>
      <c r="F14" s="10">
        <f>F13/$H$13</f>
        <v/>
      </c>
      <c r="G14" s="10">
        <f>G13/$H$13</f>
        <v/>
      </c>
      <c r="H14" s="10">
        <f>SUM(B14:G14)</f>
        <v/>
      </c>
    </row>
    <row r="17">
      <c r="A17" s="3" t="inlineStr">
        <is>
          <t>Costo de mano de obra (COP)</t>
        </is>
      </c>
    </row>
    <row r="18" ht="32" customHeight="1">
      <c r="A18" s="4" t="inlineStr">
        <is>
          <t>Rol</t>
        </is>
      </c>
      <c r="B18" s="4" t="inlineStr">
        <is>
          <t>1. Análisis</t>
        </is>
      </c>
      <c r="C18" s="4" t="inlineStr">
        <is>
          <t>2. Diseño</t>
        </is>
      </c>
      <c r="D18" s="4" t="inlineStr">
        <is>
          <t>3. Desarrollo</t>
        </is>
      </c>
      <c r="E18" s="4" t="inlineStr">
        <is>
          <t>4. Pruebas</t>
        </is>
      </c>
      <c r="F18" s="4" t="inlineStr">
        <is>
          <t>5. Despliegue</t>
        </is>
      </c>
      <c r="G18" s="4" t="inlineStr">
        <is>
          <t>6. Mantenimiento</t>
        </is>
      </c>
      <c r="H18" s="4" t="inlineStr">
        <is>
          <t>Total</t>
        </is>
      </c>
    </row>
    <row r="19">
      <c r="A19" s="5" t="inlineStr">
        <is>
          <t>Product Owner / Analista</t>
        </is>
      </c>
      <c r="B19" s="11" t="n">
        <v>735000</v>
      </c>
      <c r="C19" s="11" t="n">
        <v>0</v>
      </c>
      <c r="D19" s="11" t="n">
        <v>0</v>
      </c>
      <c r="E19" s="11" t="n">
        <v>105000</v>
      </c>
      <c r="F19" s="11" t="n">
        <v>0</v>
      </c>
      <c r="G19" s="11" t="n">
        <v>0</v>
      </c>
      <c r="H19" s="12">
        <f>SUM(B19:G19)</f>
        <v/>
      </c>
    </row>
    <row r="20">
      <c r="A20" s="5" t="inlineStr">
        <is>
          <t>Arquitecto de software</t>
        </is>
      </c>
      <c r="B20" s="11" t="n">
        <v>0</v>
      </c>
      <c r="C20" s="11" t="n">
        <v>210000</v>
      </c>
      <c r="D20" s="11" t="n">
        <v>0</v>
      </c>
      <c r="E20" s="11" t="n">
        <v>0</v>
      </c>
      <c r="F20" s="11" t="n">
        <v>0</v>
      </c>
      <c r="G20" s="11" t="n">
        <v>0</v>
      </c>
      <c r="H20" s="12">
        <f>SUM(B20:G20)</f>
        <v/>
      </c>
    </row>
    <row r="21">
      <c r="A21" s="5" t="inlineStr">
        <is>
          <t>Desarrollador Full-stack</t>
        </is>
      </c>
      <c r="B21" s="11" t="n">
        <v>0</v>
      </c>
      <c r="C21" s="11" t="n">
        <v>0</v>
      </c>
      <c r="D21" s="11" t="n">
        <v>6090000</v>
      </c>
      <c r="E21" s="11" t="n">
        <v>0</v>
      </c>
      <c r="F21" s="11" t="n">
        <v>0</v>
      </c>
      <c r="G21" s="11" t="n">
        <v>0</v>
      </c>
      <c r="H21" s="12">
        <f>SUM(B21:G21)</f>
        <v/>
      </c>
    </row>
    <row r="22">
      <c r="A22" s="5" t="inlineStr">
        <is>
          <t>Diseñador UX/UI</t>
        </is>
      </c>
      <c r="B22" s="11" t="n">
        <v>0</v>
      </c>
      <c r="C22" s="11" t="n">
        <v>0</v>
      </c>
      <c r="D22" s="11" t="n">
        <v>0</v>
      </c>
      <c r="E22" s="11" t="n">
        <v>0</v>
      </c>
      <c r="F22" s="11" t="n">
        <v>0</v>
      </c>
      <c r="G22" s="11" t="n">
        <v>0</v>
      </c>
      <c r="H22" s="12">
        <f>SUM(B22:G22)</f>
        <v/>
      </c>
    </row>
    <row r="23">
      <c r="A23" s="5" t="inlineStr">
        <is>
          <t>QA / Tester</t>
        </is>
      </c>
      <c r="B23" s="11" t="n">
        <v>0</v>
      </c>
      <c r="C23" s="11" t="n">
        <v>0</v>
      </c>
      <c r="D23" s="11" t="n">
        <v>0</v>
      </c>
      <c r="E23" s="11" t="n">
        <v>1575000</v>
      </c>
      <c r="F23" s="11" t="n">
        <v>0</v>
      </c>
      <c r="G23" s="11" t="n">
        <v>0</v>
      </c>
      <c r="H23" s="12">
        <f>SUM(B23:G23)</f>
        <v/>
      </c>
    </row>
    <row r="24">
      <c r="A24" s="5" t="inlineStr">
        <is>
          <t>DevOps / Seguridad</t>
        </is>
      </c>
      <c r="B24" s="11" t="n">
        <v>0</v>
      </c>
      <c r="C24" s="11" t="n">
        <v>0</v>
      </c>
      <c r="D24" s="11" t="n">
        <v>105000</v>
      </c>
      <c r="E24" s="11" t="n">
        <v>0</v>
      </c>
      <c r="F24" s="11" t="n">
        <v>420000</v>
      </c>
      <c r="G24" s="11" t="n">
        <v>0</v>
      </c>
      <c r="H24" s="12">
        <f>SUM(B24:G24)</f>
        <v/>
      </c>
    </row>
    <row r="25">
      <c r="A25" s="5" t="inlineStr">
        <is>
          <t>Project Manager / Scrum</t>
        </is>
      </c>
      <c r="B25" s="11" t="n">
        <v>960000</v>
      </c>
      <c r="C25" s="11" t="n">
        <v>0</v>
      </c>
      <c r="D25" s="11" t="n">
        <v>420000</v>
      </c>
      <c r="E25" s="11" t="n">
        <v>0</v>
      </c>
      <c r="F25" s="11" t="n">
        <v>0</v>
      </c>
      <c r="G25" s="11" t="n">
        <v>0</v>
      </c>
      <c r="H25" s="12">
        <f>SUM(B25:G25)</f>
        <v/>
      </c>
    </row>
    <row r="26">
      <c r="A26" s="8" t="inlineStr">
        <is>
          <t>Total por fase</t>
        </is>
      </c>
      <c r="B26" s="13">
        <f>SUM(B19:B25)</f>
        <v/>
      </c>
      <c r="C26" s="13">
        <f>SUM(C19:C25)</f>
        <v/>
      </c>
      <c r="D26" s="13">
        <f>SUM(D19:D25)</f>
        <v/>
      </c>
      <c r="E26" s="13">
        <f>SUM(E19:E25)</f>
        <v/>
      </c>
      <c r="F26" s="13">
        <f>SUM(F19:F25)</f>
        <v/>
      </c>
      <c r="G26" s="13">
        <f>SUM(G19:G25)</f>
        <v/>
      </c>
      <c r="H26" s="13">
        <f>SUM(H19:H25)</f>
        <v/>
      </c>
    </row>
    <row r="27">
      <c r="A27" s="5" t="inlineStr">
        <is>
          <t>Claude (suscripción Pro + uso extra)</t>
        </is>
      </c>
      <c r="H27" s="14" t="n">
        <v>296160</v>
      </c>
    </row>
    <row r="28">
      <c r="A28" s="8" t="inlineStr">
        <is>
          <t>TOTAL DEL PROYECTO (COP)</t>
        </is>
      </c>
      <c r="H28" s="15">
        <f>H26+H27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2026-09-25T17:10:48Z</dcterms:created>
  <dcterms:modified xmlns:dcterms="http://purl.org/dc/terms/" xmlns:xsi="http://www.w3.org/2001/XMLSchema-instance" xsi:type="dcterms:W3CDTF">2026-09-25T17:10:48Z</dcterms:modified>
</cp:coreProperties>
</file>